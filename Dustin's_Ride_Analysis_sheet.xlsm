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F19_Sub_Suspension\"/>
    </mc:Choice>
  </mc:AlternateContent>
  <xr:revisionPtr revIDLastSave="0" documentId="13_ncr:1_{EFD56374-4AC0-410C-8A58-1EF576F6C280}" xr6:coauthVersionLast="36" xr6:coauthVersionMax="36" xr10:uidLastSave="{00000000-0000-0000-0000-000000000000}"/>
  <bookViews>
    <workbookView xWindow="0" yWindow="0" windowWidth="19200" windowHeight="12096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5" i="1" l="1"/>
  <c r="E24" i="1" l="1"/>
  <c r="E7" i="1" l="1"/>
  <c r="E6" i="1"/>
  <c r="H9" i="1" l="1"/>
  <c r="E3" i="1" l="1"/>
  <c r="E9" i="1" s="1"/>
  <c r="E19" i="1" l="1"/>
  <c r="E18" i="1"/>
  <c r="B10" i="1"/>
  <c r="R17" i="1" l="1"/>
  <c r="R16" i="1"/>
  <c r="E16" i="1"/>
  <c r="B13" i="1"/>
  <c r="E2" i="1" s="1"/>
  <c r="E4" i="1"/>
  <c r="B26" i="1"/>
  <c r="B25" i="1"/>
  <c r="B6" i="1"/>
  <c r="B28" i="1"/>
  <c r="B27" i="1"/>
  <c r="B32" i="1" l="1"/>
  <c r="H3" i="1"/>
  <c r="H4" i="1"/>
  <c r="E10" i="1"/>
  <c r="E31" i="1"/>
  <c r="E8" i="1"/>
  <c r="E17" i="1"/>
  <c r="E5" i="1"/>
  <c r="B31" i="1" l="1"/>
  <c r="B33" i="1" s="1"/>
  <c r="B34" i="1"/>
  <c r="E11" i="1"/>
  <c r="E13" i="1" s="1"/>
  <c r="R10" i="1" l="1"/>
  <c r="R11" i="1" s="1"/>
  <c r="R14" i="1" s="1"/>
  <c r="R15" i="1" s="1"/>
  <c r="E12" i="1"/>
  <c r="R12" i="1" l="1"/>
  <c r="R13" i="1" s="1"/>
  <c r="E15" i="1"/>
  <c r="E21" i="1" s="1"/>
  <c r="E14" i="1"/>
  <c r="P5" i="1" l="1"/>
  <c r="N5" i="1"/>
  <c r="E20" i="1"/>
  <c r="E22" i="1" l="1"/>
  <c r="E23" i="1" s="1"/>
  <c r="P3" i="1"/>
  <c r="N3" i="1"/>
</calcChain>
</file>

<file path=xl/sharedStrings.xml><?xml version="1.0" encoding="utf-8"?>
<sst xmlns="http://schemas.openxmlformats.org/spreadsheetml/2006/main" count="185" uniqueCount="113">
  <si>
    <t>Total Weight</t>
  </si>
  <si>
    <t>car</t>
  </si>
  <si>
    <t>hcg</t>
  </si>
  <si>
    <t>lbs</t>
  </si>
  <si>
    <t>in</t>
  </si>
  <si>
    <t>input</t>
  </si>
  <si>
    <t>unit</t>
  </si>
  <si>
    <t>output</t>
  </si>
  <si>
    <t>MR Front</t>
  </si>
  <si>
    <t>MR Rear</t>
  </si>
  <si>
    <t>wheel/spring</t>
  </si>
  <si>
    <t>cg lever arm</t>
  </si>
  <si>
    <t>Track</t>
  </si>
  <si>
    <t>Wheelbase</t>
  </si>
  <si>
    <t>dh</t>
  </si>
  <si>
    <t>Kf</t>
  </si>
  <si>
    <t>Kr</t>
  </si>
  <si>
    <t>lbs/in</t>
  </si>
  <si>
    <t>Kwf</t>
  </si>
  <si>
    <t>Kwr</t>
  </si>
  <si>
    <t>Total Roll Stiffness</t>
  </si>
  <si>
    <t>Front</t>
  </si>
  <si>
    <t>Rear</t>
  </si>
  <si>
    <t>ft-lb/deg</t>
  </si>
  <si>
    <t>front</t>
  </si>
  <si>
    <t>Roll Gradient</t>
  </si>
  <si>
    <t>Total Spring Roll Stiffness</t>
  </si>
  <si>
    <t>Front Spring Roll Stiffness</t>
  </si>
  <si>
    <t>Rear Spring Roll Stiffness</t>
  </si>
  <si>
    <t>MR ARB Front</t>
  </si>
  <si>
    <t>MR ARB Rear</t>
  </si>
  <si>
    <t>wheel/link</t>
  </si>
  <si>
    <t>deg/g</t>
  </si>
  <si>
    <t>Rear ARB Stiffness</t>
  </si>
  <si>
    <t>Front ARB Stiffness</t>
  </si>
  <si>
    <t>Front ARB Roll Stiffness</t>
  </si>
  <si>
    <t>Rear ARB Roll Stiffness</t>
  </si>
  <si>
    <t>Total Rear Roll Stiffness</t>
  </si>
  <si>
    <t>Elastic WT Front</t>
  </si>
  <si>
    <t>Elastic WT Rear</t>
  </si>
  <si>
    <t>Geometric WT Front</t>
  </si>
  <si>
    <t>Geometric WT Rear</t>
  </si>
  <si>
    <t>Front WT</t>
  </si>
  <si>
    <t>Rear WT</t>
  </si>
  <si>
    <t>Total WT</t>
  </si>
  <si>
    <t>lbs/g</t>
  </si>
  <si>
    <t>Roll Stiffness Distribution</t>
  </si>
  <si>
    <t>Unsprung WT Front</t>
  </si>
  <si>
    <t>Unsprung WT Rear</t>
  </si>
  <si>
    <t>Total Front Roll Stiffness</t>
  </si>
  <si>
    <t>Tire Spring Rate</t>
  </si>
  <si>
    <t>g</t>
  </si>
  <si>
    <t>Front Ride Frequency</t>
  </si>
  <si>
    <t>Rear Ride Frequency</t>
  </si>
  <si>
    <t>Kef</t>
  </si>
  <si>
    <t>Ker</t>
  </si>
  <si>
    <t>Weight Distribution</t>
  </si>
  <si>
    <t>Tire Roll Rate Cont.</t>
  </si>
  <si>
    <t>Hz</t>
  </si>
  <si>
    <t>Roll Analysis</t>
  </si>
  <si>
    <t>hs</t>
  </si>
  <si>
    <t>sprung weight</t>
  </si>
  <si>
    <t>Total Bar Stiffness</t>
  </si>
  <si>
    <t>*ARB stiffnesses are lbs per inch of linkage movement on one side</t>
  </si>
  <si>
    <t>*All equations derived by hand, needs validation but numbers appear to be consisent with ride and roll analysis and basic kinematics</t>
  </si>
  <si>
    <t>This shouldn't change unless total weight and net cgh change</t>
  </si>
  <si>
    <t>*Spring and bar roll stiffness is taken in parallel with each other and in series with the tire roll stiffness</t>
  </si>
  <si>
    <t>Pitch:</t>
  </si>
  <si>
    <t>Dive Stiffness</t>
  </si>
  <si>
    <t>Squat Stiffness</t>
  </si>
  <si>
    <t>Dive Gradient</t>
  </si>
  <si>
    <t>Squat Gradient</t>
  </si>
  <si>
    <t>Roll Axis Inclination</t>
  </si>
  <si>
    <t>rads</t>
  </si>
  <si>
    <t>*sketchy part of the sheet</t>
  </si>
  <si>
    <t>Used for finding the moment arm of the cg</t>
  </si>
  <si>
    <t>hf</t>
  </si>
  <si>
    <t>hr</t>
  </si>
  <si>
    <t>of note</t>
  </si>
  <si>
    <t>huf</t>
  </si>
  <si>
    <t>hur</t>
  </si>
  <si>
    <t>Wuf</t>
  </si>
  <si>
    <t>Wur</t>
  </si>
  <si>
    <t>front unsprung cg height</t>
  </si>
  <si>
    <t>rear ^</t>
  </si>
  <si>
    <t>front unsprung weight</t>
  </si>
  <si>
    <t>rear^</t>
  </si>
  <si>
    <t>front roll center height</t>
  </si>
  <si>
    <t>net cg height</t>
  </si>
  <si>
    <t>sprung height</t>
  </si>
  <si>
    <t>MR</t>
  </si>
  <si>
    <t>motion ratio</t>
  </si>
  <si>
    <t>front spring rate</t>
  </si>
  <si>
    <t>front effective spring rate</t>
  </si>
  <si>
    <t>front wheel rate</t>
  </si>
  <si>
    <t>wheel travel/link travel</t>
  </si>
  <si>
    <t>wheel travel/spring travel</t>
  </si>
  <si>
    <t>^ anything in the 4s is super stiff</t>
  </si>
  <si>
    <t>Body Roll</t>
  </si>
  <si>
    <t>deg</t>
  </si>
  <si>
    <t>wheel travel</t>
  </si>
  <si>
    <t>arb travel</t>
  </si>
  <si>
    <t>arb force</t>
  </si>
  <si>
    <t>spring travel</t>
  </si>
  <si>
    <t>spring force</t>
  </si>
  <si>
    <t>lv</t>
  </si>
  <si>
    <t>Long Acc</t>
  </si>
  <si>
    <t>Long WT</t>
  </si>
  <si>
    <t>Lat Acc</t>
  </si>
  <si>
    <t>WT Distribution (LLTD)</t>
  </si>
  <si>
    <t>N/(mm/s)</t>
  </si>
  <si>
    <t>Ccf</t>
  </si>
  <si>
    <t>Ccr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</si>
</sst>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center" vertical="center"/>
    </xf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3" borderId="2" xfId="0" applyFill="1" applyBorder="1"/>
    <xf numFmtId="2" fontId="0" fillId="0" borderId="1" xfId="0" applyNumberFormat="1" applyBorder="1"/>
    <xf numFmtId="2" fontId="0" fillId="0" borderId="0" xfId="0" applyNumberFormat="1"/>
    <xf numFmtId="0" fontId="0" fillId="4" borderId="2" xfId="0" applyFill="1" applyBorder="1"/>
    <xf numFmtId="2" fontId="0" fillId="6" borderId="1" xfId="0" applyNumberFormat="1" applyFill="1" applyBorder="1"/>
    <xf numFmtId="10" fontId="0" fillId="6" borderId="1" xfId="0" applyNumberFormat="1" applyFill="1" applyBorder="1"/>
    <xf numFmtId="10" fontId="0" fillId="0" borderId="1" xfId="0" applyNumberFormat="1" applyBorder="1"/>
    <xf numFmtId="0" fontId="0" fillId="4" borderId="4" xfId="0" applyFill="1" applyBorder="1"/>
    <xf numFmtId="2" fontId="1" fillId="5" borderId="0" xfId="0" applyNumberFormat="1" applyFont="1" applyFill="1" applyAlignment="1">
      <alignment horizontal="center" vertical="center"/>
    </xf>
    <xf numFmtId="2" fontId="0" fillId="0" borderId="1" xfId="0" applyNumberFormat="1" applyFill="1" applyBorder="1"/>
    <xf numFmtId="0" fontId="0" fillId="4" borderId="3" xfId="0" applyFill="1" applyBorder="1"/>
    <xf numFmtId="0" fontId="0" fillId="7" borderId="1" xfId="0" applyFill="1" applyBorder="1"/>
    <xf numFmtId="2" fontId="0" fillId="8" borderId="1" xfId="0" applyNumberFormat="1" applyFill="1" applyBorder="1"/>
    <xf numFmtId="10" fontId="0" fillId="8" borderId="1" xfId="0" applyNumberFormat="1" applyFill="1" applyBorder="1"/>
    <xf numFmtId="164" fontId="0" fillId="0" borderId="0" xfId="0" applyNumberFormat="1"/>
    <xf numFmtId="0" fontId="0" fillId="9" borderId="1" xfId="0" applyFill="1" applyBorder="1"/>
    <xf numFmtId="0" fontId="2" fillId="4" borderId="1" xfId="0" applyFont="1" applyFill="1" applyBorder="1"/>
    <xf numFmtId="0" fontId="0" fillId="0" borderId="1" xfId="0" applyBorder="1"/>
    <xf numFmtId="0" fontId="0" fillId="8" borderId="1" xfId="0" applyFill="1" applyBorder="1"/>
    <xf numFmtId="2" fontId="0" fillId="0" borderId="4" xfId="0" applyNumberFormat="1" applyBorder="1"/>
    <xf numFmtId="0" fontId="0" fillId="0" borderId="5" xfId="0" applyBorder="1"/>
    <xf numFmtId="0" fontId="0" fillId="4" borderId="6" xfId="0" applyFill="1" applyBorder="1"/>
    <xf numFmtId="2" fontId="0" fillId="0" borderId="5" xfId="0" applyNumberFormat="1" applyBorder="1"/>
    <xf numFmtId="0" fontId="0" fillId="3" borderId="7" xfId="0" applyFill="1" applyBorder="1"/>
    <xf numFmtId="0" fontId="0" fillId="0" borderId="1" xfId="0" applyFill="1" applyBorder="1"/>
  </cellXfs>
  <cellStyles count="1">
    <cellStyle name="Normal" xfId="0" builtinId="0"/>
  </cellStyles>
  <dxfs count="2">
    <dxf>
      <font>
        <color auto="1"/>
      </font>
      <fill>
        <patternFill>
          <bgColor theme="0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52"/>
  <sheetViews>
    <sheetView tabSelected="1" topLeftCell="A2" zoomScaleNormal="100" workbookViewId="0">
      <selection activeCell="B20" sqref="B20"/>
    </sheetView>
  </sheetViews>
  <sheetFormatPr defaultRowHeight="14.4" x14ac:dyDescent="0.3"/>
  <cols>
    <col min="1" max="1" width="22.109375" customWidth="1"/>
    <col min="2" max="2" width="12.5546875" style="7" bestFit="1" customWidth="1"/>
    <col min="3" max="3" width="24.33203125" customWidth="1"/>
    <col min="4" max="4" width="25.44140625" customWidth="1"/>
    <col min="5" max="5" width="10.5546875" bestFit="1" customWidth="1"/>
    <col min="7" max="7" width="20.33203125" customWidth="1"/>
    <col min="17" max="17" width="11.88671875" customWidth="1"/>
    <col min="19" max="19" width="9.88671875" bestFit="1" customWidth="1"/>
  </cols>
  <sheetData>
    <row r="1" spans="1:19" x14ac:dyDescent="0.3">
      <c r="A1" s="16" t="s">
        <v>59</v>
      </c>
      <c r="H1" s="2" t="s">
        <v>5</v>
      </c>
      <c r="I1" s="3" t="s">
        <v>6</v>
      </c>
      <c r="J1" s="4" t="s">
        <v>7</v>
      </c>
      <c r="K1" s="23" t="s">
        <v>78</v>
      </c>
    </row>
    <row r="2" spans="1:19" x14ac:dyDescent="0.3">
      <c r="A2" s="2" t="s">
        <v>0</v>
      </c>
      <c r="B2" s="6">
        <v>600</v>
      </c>
      <c r="C2" s="3" t="s">
        <v>3</v>
      </c>
      <c r="D2" s="4" t="s">
        <v>11</v>
      </c>
      <c r="E2" s="9">
        <f>B13-B4*(1-E24/B17)-B5*(E24/B17)</f>
        <v>13.202380952380953</v>
      </c>
      <c r="F2" s="3" t="s">
        <v>4</v>
      </c>
    </row>
    <row r="3" spans="1:19" x14ac:dyDescent="0.3">
      <c r="A3" s="2" t="s">
        <v>56</v>
      </c>
      <c r="B3" s="11">
        <v>0.47</v>
      </c>
      <c r="C3" s="3" t="s">
        <v>24</v>
      </c>
      <c r="D3" s="4" t="s">
        <v>27</v>
      </c>
      <c r="E3" s="9">
        <f>(B16^2*B18*PI()/(8640*B14^2))</f>
        <v>290.88820866572161</v>
      </c>
      <c r="F3" s="3" t="s">
        <v>23</v>
      </c>
      <c r="G3" s="4" t="s">
        <v>52</v>
      </c>
      <c r="H3" s="6">
        <f>SQRT(B27*2/(B10*B3/386.4))/(2*PI())</f>
        <v>4.1150922946114621</v>
      </c>
      <c r="I3" s="3" t="s">
        <v>58</v>
      </c>
      <c r="M3" t="s">
        <v>21</v>
      </c>
      <c r="N3" s="13">
        <f>(B2*B3/2)-E20*O7-(B35*O8/2)</f>
        <v>105.9454752066116</v>
      </c>
      <c r="P3" s="13">
        <f>(B2*B3/2)+E20*O7-(B35*O8/2)</f>
        <v>453.74047520661156</v>
      </c>
    </row>
    <row r="4" spans="1:19" x14ac:dyDescent="0.3">
      <c r="A4" s="2" t="s">
        <v>76</v>
      </c>
      <c r="B4" s="6">
        <v>1.75</v>
      </c>
      <c r="C4" s="3" t="s">
        <v>4</v>
      </c>
      <c r="D4" s="4" t="s">
        <v>28</v>
      </c>
      <c r="E4" s="9">
        <f>(B16^2*B19*PI()/(8640*B15^2))</f>
        <v>290.88820866572161</v>
      </c>
      <c r="F4" s="3" t="s">
        <v>23</v>
      </c>
      <c r="G4" s="4" t="s">
        <v>53</v>
      </c>
      <c r="H4" s="6">
        <f>SQRT(B28*2/(B10*(1-B3)/386.4))/(2*PI())</f>
        <v>3.8751683490612905</v>
      </c>
      <c r="I4" s="3" t="s">
        <v>58</v>
      </c>
      <c r="O4" s="1" t="s">
        <v>1</v>
      </c>
    </row>
    <row r="5" spans="1:19" x14ac:dyDescent="0.3">
      <c r="A5" s="2" t="s">
        <v>77</v>
      </c>
      <c r="B5" s="6">
        <v>1.75</v>
      </c>
      <c r="C5" s="3" t="s">
        <v>4</v>
      </c>
      <c r="D5" s="4" t="s">
        <v>26</v>
      </c>
      <c r="E5" s="17">
        <f>E3+E4</f>
        <v>581.77641733144321</v>
      </c>
      <c r="F5" s="3" t="s">
        <v>23</v>
      </c>
      <c r="H5" t="s">
        <v>97</v>
      </c>
      <c r="M5" t="s">
        <v>22</v>
      </c>
      <c r="N5" s="13">
        <f>(B2*(1-B3)/2)-E21*O7+(B35*O8/2)</f>
        <v>-155.9454752066116</v>
      </c>
      <c r="P5" s="13">
        <f>(B2*(1-B3)/2)+E21*O7+(B35*O8/2)</f>
        <v>196.25952479338844</v>
      </c>
    </row>
    <row r="6" spans="1:19" x14ac:dyDescent="0.3">
      <c r="A6" s="2" t="s">
        <v>14</v>
      </c>
      <c r="B6" s="6">
        <f>B5-B4</f>
        <v>0</v>
      </c>
      <c r="C6" s="3" t="s">
        <v>4</v>
      </c>
      <c r="D6" s="4" t="s">
        <v>35</v>
      </c>
      <c r="E6" s="9">
        <f>(B16^2*B22*PI()/(8640*B20^2))*2</f>
        <v>0</v>
      </c>
      <c r="F6" s="3" t="s">
        <v>23</v>
      </c>
    </row>
    <row r="7" spans="1:19" x14ac:dyDescent="0.3">
      <c r="A7" s="2" t="s">
        <v>2</v>
      </c>
      <c r="B7" s="17">
        <v>14</v>
      </c>
      <c r="C7" s="3" t="s">
        <v>4</v>
      </c>
      <c r="D7" s="4" t="s">
        <v>36</v>
      </c>
      <c r="E7" s="9">
        <f>(B16^2*B23*PI()/(8640*B21^2))*2</f>
        <v>0</v>
      </c>
      <c r="F7" s="3" t="s">
        <v>23</v>
      </c>
      <c r="N7" s="2" t="s">
        <v>108</v>
      </c>
      <c r="O7" s="7">
        <v>2</v>
      </c>
      <c r="P7" t="s">
        <v>51</v>
      </c>
    </row>
    <row r="8" spans="1:19" x14ac:dyDescent="0.3">
      <c r="A8" s="2" t="s">
        <v>81</v>
      </c>
      <c r="B8" s="6">
        <v>48</v>
      </c>
      <c r="C8" s="3" t="s">
        <v>3</v>
      </c>
      <c r="D8" s="4" t="s">
        <v>62</v>
      </c>
      <c r="E8" s="17">
        <f>E7+E6</f>
        <v>0</v>
      </c>
      <c r="F8" s="3" t="s">
        <v>23</v>
      </c>
      <c r="N8" s="2" t="s">
        <v>106</v>
      </c>
      <c r="O8" s="7">
        <v>-2</v>
      </c>
      <c r="P8" t="s">
        <v>51</v>
      </c>
    </row>
    <row r="9" spans="1:19" x14ac:dyDescent="0.3">
      <c r="A9" s="2" t="s">
        <v>82</v>
      </c>
      <c r="B9" s="6">
        <v>48</v>
      </c>
      <c r="C9" s="3" t="s">
        <v>3</v>
      </c>
      <c r="D9" s="4" t="s">
        <v>49</v>
      </c>
      <c r="E9" s="9">
        <f>((E6+E3)*H9)/(E3+E6+H9)</f>
        <v>215.91702086527789</v>
      </c>
      <c r="F9" s="3" t="s">
        <v>23</v>
      </c>
      <c r="G9" s="4" t="s">
        <v>57</v>
      </c>
      <c r="H9" s="9">
        <f>(B24*B16^2*PI()/8640)*2</f>
        <v>837.75804095727824</v>
      </c>
      <c r="I9" s="3" t="s">
        <v>23</v>
      </c>
      <c r="N9" s="7"/>
    </row>
    <row r="10" spans="1:19" x14ac:dyDescent="0.3">
      <c r="A10" s="4" t="s">
        <v>61</v>
      </c>
      <c r="B10" s="6">
        <f>B2-B8-B9</f>
        <v>504</v>
      </c>
      <c r="C10" s="3" t="s">
        <v>3</v>
      </c>
      <c r="D10" s="4" t="s">
        <v>37</v>
      </c>
      <c r="E10" s="9">
        <f>((E7+E4)*H9)/(E4+E7+H9)</f>
        <v>215.91702086527789</v>
      </c>
      <c r="F10" s="3" t="s">
        <v>23</v>
      </c>
      <c r="G10" t="s">
        <v>66</v>
      </c>
      <c r="P10" s="25" t="s">
        <v>21</v>
      </c>
      <c r="Q10" s="22" t="s">
        <v>98</v>
      </c>
      <c r="R10" s="6">
        <f>O7*E13</f>
        <v>2.5681162039836685</v>
      </c>
      <c r="S10" s="22" t="s">
        <v>99</v>
      </c>
    </row>
    <row r="11" spans="1:19" x14ac:dyDescent="0.3">
      <c r="A11" s="2" t="s">
        <v>79</v>
      </c>
      <c r="B11" s="6">
        <v>9</v>
      </c>
      <c r="C11" s="3" t="s">
        <v>4</v>
      </c>
      <c r="D11" s="4" t="s">
        <v>20</v>
      </c>
      <c r="E11" s="17">
        <f>E9+E10</f>
        <v>431.83404173055578</v>
      </c>
      <c r="F11" s="3" t="s">
        <v>23</v>
      </c>
      <c r="Q11" s="22" t="s">
        <v>100</v>
      </c>
      <c r="R11" s="6">
        <f>(B16/2)*SIN(R10*PI()/180)</f>
        <v>1.0753698424842546</v>
      </c>
      <c r="S11" s="22" t="s">
        <v>4</v>
      </c>
    </row>
    <row r="12" spans="1:19" x14ac:dyDescent="0.3">
      <c r="A12" s="2" t="s">
        <v>80</v>
      </c>
      <c r="B12" s="6">
        <v>9</v>
      </c>
      <c r="C12" s="3" t="s">
        <v>4</v>
      </c>
      <c r="D12" s="4" t="s">
        <v>46</v>
      </c>
      <c r="E12" s="10">
        <f>E9/E11</f>
        <v>0.5</v>
      </c>
      <c r="F12" s="3" t="s">
        <v>24</v>
      </c>
      <c r="Q12" s="6" t="s">
        <v>101</v>
      </c>
      <c r="R12" s="6">
        <f>R11/B20</f>
        <v>0.5376849212421273</v>
      </c>
      <c r="S12" s="22" t="s">
        <v>4</v>
      </c>
    </row>
    <row r="13" spans="1:19" x14ac:dyDescent="0.3">
      <c r="A13" s="8" t="s">
        <v>60</v>
      </c>
      <c r="B13" s="24">
        <f>(B2*B7-B8*B11-B9*B12)/B10</f>
        <v>14.952380952380953</v>
      </c>
      <c r="C13" s="5" t="s">
        <v>4</v>
      </c>
      <c r="D13" s="4" t="s">
        <v>25</v>
      </c>
      <c r="E13" s="17">
        <f>(B10*E2/12)/E11</f>
        <v>1.2840581019918342</v>
      </c>
      <c r="F13" s="3" t="s">
        <v>32</v>
      </c>
      <c r="Q13" s="17" t="s">
        <v>102</v>
      </c>
      <c r="R13" s="6">
        <f>R12*B22</f>
        <v>0</v>
      </c>
      <c r="S13" s="22" t="s">
        <v>3</v>
      </c>
    </row>
    <row r="14" spans="1:19" x14ac:dyDescent="0.3">
      <c r="A14" s="2" t="s">
        <v>8</v>
      </c>
      <c r="B14" s="6">
        <v>0.6</v>
      </c>
      <c r="C14" s="3" t="s">
        <v>96</v>
      </c>
      <c r="D14" s="4" t="s">
        <v>38</v>
      </c>
      <c r="E14" s="9">
        <f>B10*E2*E12/B16</f>
        <v>69.3125</v>
      </c>
      <c r="F14" s="3" t="s">
        <v>45</v>
      </c>
      <c r="Q14" s="22" t="s">
        <v>103</v>
      </c>
      <c r="R14" s="6">
        <f>R11/B14</f>
        <v>1.7922830708070911</v>
      </c>
      <c r="S14" s="22" t="s">
        <v>4</v>
      </c>
    </row>
    <row r="15" spans="1:19" x14ac:dyDescent="0.3">
      <c r="A15" s="2" t="s">
        <v>9</v>
      </c>
      <c r="B15" s="6">
        <v>0.6</v>
      </c>
      <c r="C15" s="3" t="s">
        <v>10</v>
      </c>
      <c r="D15" s="4" t="s">
        <v>39</v>
      </c>
      <c r="E15" s="9">
        <f>B10*E2*(1-E12)/B16</f>
        <v>69.3125</v>
      </c>
      <c r="F15" s="3" t="s">
        <v>45</v>
      </c>
      <c r="Q15" s="23" t="s">
        <v>104</v>
      </c>
      <c r="R15" s="6">
        <f>R14*B18</f>
        <v>224.0353838508864</v>
      </c>
      <c r="S15" s="22" t="s">
        <v>3</v>
      </c>
    </row>
    <row r="16" spans="1:19" x14ac:dyDescent="0.3">
      <c r="A16" s="2" t="s">
        <v>12</v>
      </c>
      <c r="B16" s="6">
        <v>48</v>
      </c>
      <c r="C16" s="3" t="s">
        <v>4</v>
      </c>
      <c r="D16" s="4" t="s">
        <v>40</v>
      </c>
      <c r="E16" s="6">
        <f>B10*B3*B4/B16</f>
        <v>8.6362499999999986</v>
      </c>
      <c r="F16" s="3" t="s">
        <v>45</v>
      </c>
      <c r="Q16" s="22" t="s">
        <v>111</v>
      </c>
      <c r="R16" s="22">
        <f>2*SQRT(((B18*175.126835)*(B10*0.453592)))/1000</f>
        <v>4.474137357973337</v>
      </c>
      <c r="S16" s="29" t="s">
        <v>110</v>
      </c>
    </row>
    <row r="17" spans="1:19" x14ac:dyDescent="0.3">
      <c r="A17" s="2" t="s">
        <v>13</v>
      </c>
      <c r="B17" s="6">
        <v>60.5</v>
      </c>
      <c r="C17" s="3" t="s">
        <v>4</v>
      </c>
      <c r="D17" s="4" t="s">
        <v>41</v>
      </c>
      <c r="E17" s="6">
        <f>B10*(1-B3)*B5/B16</f>
        <v>9.7387500000000014</v>
      </c>
      <c r="F17" s="3" t="s">
        <v>45</v>
      </c>
      <c r="G17" t="s">
        <v>63</v>
      </c>
      <c r="Q17" s="22" t="s">
        <v>112</v>
      </c>
      <c r="R17" s="22">
        <f>2*SQRT(((B19*175.126835)*(B10*0.453592)))/1000</f>
        <v>4.474137357973337</v>
      </c>
      <c r="S17" s="29" t="s">
        <v>110</v>
      </c>
    </row>
    <row r="18" spans="1:19" x14ac:dyDescent="0.3">
      <c r="A18" s="2" t="s">
        <v>15</v>
      </c>
      <c r="B18" s="14">
        <v>125</v>
      </c>
      <c r="C18" s="3" t="s">
        <v>17</v>
      </c>
      <c r="D18" s="4" t="s">
        <v>47</v>
      </c>
      <c r="E18" s="6">
        <f>B8*B11/B16</f>
        <v>9</v>
      </c>
      <c r="F18" s="3" t="s">
        <v>45</v>
      </c>
      <c r="G18" t="s">
        <v>64</v>
      </c>
    </row>
    <row r="19" spans="1:19" x14ac:dyDescent="0.3">
      <c r="A19" s="2" t="s">
        <v>16</v>
      </c>
      <c r="B19" s="14">
        <v>125</v>
      </c>
      <c r="C19" s="3" t="s">
        <v>17</v>
      </c>
      <c r="D19" s="4" t="s">
        <v>48</v>
      </c>
      <c r="E19" s="6">
        <f>B8*B12/B16</f>
        <v>9</v>
      </c>
      <c r="F19" s="3" t="s">
        <v>45</v>
      </c>
    </row>
    <row r="20" spans="1:19" x14ac:dyDescent="0.3">
      <c r="A20" s="2" t="s">
        <v>29</v>
      </c>
      <c r="B20" s="14">
        <v>2</v>
      </c>
      <c r="C20" s="3" t="s">
        <v>95</v>
      </c>
      <c r="D20" s="4" t="s">
        <v>42</v>
      </c>
      <c r="E20" s="6">
        <f>E18+E16+E14</f>
        <v>86.94874999999999</v>
      </c>
      <c r="F20" s="3" t="s">
        <v>45</v>
      </c>
      <c r="G20" s="7"/>
    </row>
    <row r="21" spans="1:19" x14ac:dyDescent="0.3">
      <c r="A21" s="2" t="s">
        <v>30</v>
      </c>
      <c r="B21" s="14">
        <v>1</v>
      </c>
      <c r="C21" s="3" t="s">
        <v>31</v>
      </c>
      <c r="D21" s="12" t="s">
        <v>43</v>
      </c>
      <c r="E21" s="6">
        <f>E19+E17+E15</f>
        <v>88.05125000000001</v>
      </c>
      <c r="F21" s="3" t="s">
        <v>45</v>
      </c>
      <c r="G21" s="7"/>
    </row>
    <row r="22" spans="1:19" x14ac:dyDescent="0.3">
      <c r="A22" s="2" t="s">
        <v>34</v>
      </c>
      <c r="B22" s="14">
        <v>0</v>
      </c>
      <c r="C22" s="3" t="s">
        <v>17</v>
      </c>
      <c r="D22" s="4" t="s">
        <v>44</v>
      </c>
      <c r="E22" s="6">
        <f>E21+E20</f>
        <v>175</v>
      </c>
      <c r="F22" s="3" t="s">
        <v>45</v>
      </c>
      <c r="G22" s="7" t="s">
        <v>65</v>
      </c>
    </row>
    <row r="23" spans="1:19" x14ac:dyDescent="0.3">
      <c r="A23" s="2" t="s">
        <v>33</v>
      </c>
      <c r="B23" s="6">
        <v>0</v>
      </c>
      <c r="C23" s="3" t="s">
        <v>17</v>
      </c>
      <c r="D23" s="15" t="s">
        <v>109</v>
      </c>
      <c r="E23" s="18">
        <f>E20/E22</f>
        <v>0.49684999999999996</v>
      </c>
      <c r="F23" s="3" t="s">
        <v>24</v>
      </c>
    </row>
    <row r="24" spans="1:19" x14ac:dyDescent="0.3">
      <c r="A24" s="2" t="s">
        <v>50</v>
      </c>
      <c r="B24" s="14">
        <v>500</v>
      </c>
      <c r="C24" s="3" t="s">
        <v>17</v>
      </c>
      <c r="D24" s="26" t="s">
        <v>105</v>
      </c>
      <c r="E24">
        <f>B17*(1-B3)</f>
        <v>32.065000000000005</v>
      </c>
      <c r="F24" s="5" t="s">
        <v>4</v>
      </c>
    </row>
    <row r="25" spans="1:19" x14ac:dyDescent="0.3">
      <c r="A25" s="4" t="s">
        <v>54</v>
      </c>
      <c r="B25" s="6">
        <f>B18/B14^2</f>
        <v>347.22222222222223</v>
      </c>
      <c r="C25" s="3" t="s">
        <v>17</v>
      </c>
    </row>
    <row r="26" spans="1:19" x14ac:dyDescent="0.3">
      <c r="A26" s="4" t="s">
        <v>55</v>
      </c>
      <c r="B26" s="6">
        <f>B19/B15^2</f>
        <v>347.22222222222223</v>
      </c>
      <c r="C26" s="3" t="s">
        <v>17</v>
      </c>
    </row>
    <row r="27" spans="1:19" x14ac:dyDescent="0.3">
      <c r="A27" s="4" t="s">
        <v>18</v>
      </c>
      <c r="B27" s="6">
        <f>kseries(B25,B24)</f>
        <v>204.91803278688528</v>
      </c>
      <c r="C27" s="3" t="s">
        <v>17</v>
      </c>
    </row>
    <row r="28" spans="1:19" x14ac:dyDescent="0.3">
      <c r="A28" s="4" t="s">
        <v>19</v>
      </c>
      <c r="B28" s="6">
        <f>kseries(B24,B26)</f>
        <v>204.91803278688528</v>
      </c>
      <c r="C28" s="3" t="s">
        <v>17</v>
      </c>
    </row>
    <row r="29" spans="1:19" x14ac:dyDescent="0.3">
      <c r="B29"/>
    </row>
    <row r="30" spans="1:19" x14ac:dyDescent="0.3">
      <c r="A30" s="20" t="s">
        <v>67</v>
      </c>
    </row>
    <row r="31" spans="1:19" x14ac:dyDescent="0.3">
      <c r="A31" s="4" t="s">
        <v>68</v>
      </c>
      <c r="B31" s="6">
        <f>B27*2*(1-B3)*B17*B16*PI()/4320</f>
        <v>458.72116774752612</v>
      </c>
      <c r="C31" s="3" t="s">
        <v>23</v>
      </c>
      <c r="D31" s="21" t="s">
        <v>72</v>
      </c>
      <c r="E31" s="22">
        <f>ATAN(B6/B17)</f>
        <v>0</v>
      </c>
      <c r="F31" s="3" t="s">
        <v>73</v>
      </c>
      <c r="G31" t="s">
        <v>75</v>
      </c>
    </row>
    <row r="32" spans="1:19" x14ac:dyDescent="0.3">
      <c r="A32" s="4" t="s">
        <v>69</v>
      </c>
      <c r="B32" s="6">
        <f>B28*2*(B3)*B17*B16*PI()/4320</f>
        <v>406.7904695119571</v>
      </c>
      <c r="C32" s="3" t="s">
        <v>23</v>
      </c>
      <c r="F32" s="19"/>
    </row>
    <row r="33" spans="1:4" x14ac:dyDescent="0.3">
      <c r="A33" s="4" t="s">
        <v>70</v>
      </c>
      <c r="B33" s="17">
        <f>(B10*E2/12)*COS(E31)/B31</f>
        <v>1.2087953183472651</v>
      </c>
      <c r="C33" s="3" t="s">
        <v>32</v>
      </c>
      <c r="D33" t="s">
        <v>74</v>
      </c>
    </row>
    <row r="34" spans="1:4" x14ac:dyDescent="0.3">
      <c r="A34" s="4" t="s">
        <v>71</v>
      </c>
      <c r="B34" s="17">
        <f>(B10*E2/12)*COS(E31)/B32</f>
        <v>1.3631096143064905</v>
      </c>
      <c r="C34" s="3" t="s">
        <v>32</v>
      </c>
    </row>
    <row r="35" spans="1:4" x14ac:dyDescent="0.3">
      <c r="A35" s="8" t="s">
        <v>107</v>
      </c>
      <c r="B35" s="27">
        <f>B2*B7/B17</f>
        <v>138.84297520661158</v>
      </c>
      <c r="C35" s="28" t="s">
        <v>45</v>
      </c>
    </row>
    <row r="38" spans="1:4" x14ac:dyDescent="0.3">
      <c r="A38" t="s">
        <v>79</v>
      </c>
      <c r="B38" s="7" t="s">
        <v>83</v>
      </c>
    </row>
    <row r="39" spans="1:4" x14ac:dyDescent="0.3">
      <c r="A39" t="s">
        <v>80</v>
      </c>
      <c r="B39" s="7" t="s">
        <v>84</v>
      </c>
    </row>
    <row r="40" spans="1:4" x14ac:dyDescent="0.3">
      <c r="A40" t="s">
        <v>81</v>
      </c>
      <c r="B40" s="7" t="s">
        <v>85</v>
      </c>
    </row>
    <row r="41" spans="1:4" x14ac:dyDescent="0.3">
      <c r="A41" t="s">
        <v>82</v>
      </c>
      <c r="B41" s="7" t="s">
        <v>86</v>
      </c>
    </row>
    <row r="42" spans="1:4" x14ac:dyDescent="0.3">
      <c r="A42" t="s">
        <v>76</v>
      </c>
      <c r="B42" s="7" t="s">
        <v>87</v>
      </c>
    </row>
    <row r="43" spans="1:4" x14ac:dyDescent="0.3">
      <c r="A43" t="s">
        <v>77</v>
      </c>
      <c r="B43" s="7" t="s">
        <v>86</v>
      </c>
    </row>
    <row r="44" spans="1:4" x14ac:dyDescent="0.3">
      <c r="A44" t="s">
        <v>2</v>
      </c>
      <c r="B44" s="7" t="s">
        <v>88</v>
      </c>
    </row>
    <row r="45" spans="1:4" x14ac:dyDescent="0.3">
      <c r="A45" t="s">
        <v>60</v>
      </c>
      <c r="B45" s="7" t="s">
        <v>89</v>
      </c>
    </row>
    <row r="46" spans="1:4" x14ac:dyDescent="0.3">
      <c r="A46" t="s">
        <v>90</v>
      </c>
      <c r="B46" s="7" t="s">
        <v>91</v>
      </c>
    </row>
    <row r="47" spans="1:4" x14ac:dyDescent="0.3">
      <c r="A47" t="s">
        <v>15</v>
      </c>
      <c r="B47" s="7" t="s">
        <v>92</v>
      </c>
    </row>
    <row r="48" spans="1:4" x14ac:dyDescent="0.3">
      <c r="A48" t="s">
        <v>16</v>
      </c>
      <c r="B48" s="7" t="s">
        <v>84</v>
      </c>
    </row>
    <row r="49" spans="1:2" x14ac:dyDescent="0.3">
      <c r="A49" t="s">
        <v>54</v>
      </c>
      <c r="B49" s="7" t="s">
        <v>93</v>
      </c>
    </row>
    <row r="50" spans="1:2" x14ac:dyDescent="0.3">
      <c r="A50" t="s">
        <v>55</v>
      </c>
      <c r="B50" s="7" t="s">
        <v>86</v>
      </c>
    </row>
    <row r="51" spans="1:2" x14ac:dyDescent="0.3">
      <c r="A51" t="s">
        <v>18</v>
      </c>
      <c r="B51" s="7" t="s">
        <v>94</v>
      </c>
    </row>
    <row r="52" spans="1:2" x14ac:dyDescent="0.3">
      <c r="A52" t="s">
        <v>19</v>
      </c>
      <c r="B52" s="7" t="s">
        <v>86</v>
      </c>
    </row>
  </sheetData>
  <conditionalFormatting sqref="H3">
    <cfRule type="colorScale" priority="5">
      <colorScale>
        <cfvo type="num" val="2"/>
        <cfvo type="num" val="4.5"/>
        <color rgb="FFFF7128"/>
        <color rgb="FFFFEF9C"/>
      </colorScale>
    </cfRule>
    <cfRule type="colorScale" priority="6">
      <colorScale>
        <cfvo type="num" val="2"/>
        <cfvo type="max"/>
        <color rgb="FF00B050"/>
        <color rgb="FFFF0000"/>
      </colorScale>
    </cfRule>
    <cfRule type="colorScale" priority="7">
      <colorScale>
        <cfvo type="num" val="2"/>
        <cfvo type="num" val="4.5"/>
        <color rgb="FF00B0F0"/>
        <color rgb="FFFF0000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:H4 J5">
    <cfRule type="colorScale" priority="4">
      <colorScale>
        <cfvo type="num" val="2"/>
        <cfvo type="num" val="4.5"/>
        <color theme="0"/>
        <color rgb="FFFF0000"/>
      </colorScale>
    </cfRule>
  </conditionalFormatting>
  <conditionalFormatting sqref="H3:H4 J6">
    <cfRule type="colorScale" priority="3">
      <colorScale>
        <cfvo type="num" val="2"/>
        <cfvo type="num" val="3.5"/>
        <cfvo type="num" val="4.5"/>
        <color theme="0"/>
        <color theme="9"/>
        <color rgb="FFFF0000"/>
      </colorScale>
    </cfRule>
  </conditionalFormatting>
  <conditionalFormatting sqref="P3 P5 N5 N3">
    <cfRule type="cellIs" dxfId="1" priority="2" operator="lessThan">
      <formula>0</formula>
    </cfRule>
  </conditionalFormatting>
  <conditionalFormatting sqref="Q10 N3 P3 P5 N5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Hyundai Motor Manufacturing Alabama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hmm105358</dc:creator>
  <cp:lastModifiedBy>Ben</cp:lastModifiedBy>
  <dcterms:created xsi:type="dcterms:W3CDTF">2018-06-04T12:10:54Z</dcterms:created>
  <dcterms:modified xsi:type="dcterms:W3CDTF">2019-04-10T23:30:05Z</dcterms:modified>
</cp:coreProperties>
</file>